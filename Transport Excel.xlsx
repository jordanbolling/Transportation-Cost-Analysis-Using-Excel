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annamedjordan/Desktop/CW/Operations An/"/>
    </mc:Choice>
  </mc:AlternateContent>
  <xr:revisionPtr revIDLastSave="0" documentId="13_ncr:1_{EA32AD8E-A9D8-C647-804B-E5B636330124}" xr6:coauthVersionLast="47" xr6:coauthVersionMax="47" xr10:uidLastSave="{00000000-0000-0000-0000-000000000000}"/>
  <bookViews>
    <workbookView xWindow="9040" yWindow="500" windowWidth="12740" windowHeight="13360" activeTab="2" xr2:uid="{CC668E66-7A3B-194A-9F92-118938297CC3}"/>
  </bookViews>
  <sheets>
    <sheet name="SD Network Diagram" sheetId="1" r:id="rId1"/>
    <sheet name="Transportation Tableau" sheetId="2" r:id="rId2"/>
    <sheet name="LP Model" sheetId="4" r:id="rId3"/>
  </sheets>
  <definedNames>
    <definedName name="solver_adj" localSheetId="2" hidden="1">'LP Model'!$C$13:$F$15</definedName>
    <definedName name="solver_cvg" localSheetId="2" hidden="1">0.0001</definedName>
    <definedName name="solver_drv" localSheetId="2" hidden="1">1</definedName>
    <definedName name="solver_eng" localSheetId="2" hidden="1">2</definedName>
    <definedName name="solver_itr" localSheetId="2" hidden="1">2147483647</definedName>
    <definedName name="solver_lhs1" localSheetId="2" hidden="1">'LP Model'!$C$16:$F$16</definedName>
    <definedName name="solver_lhs2" localSheetId="2" hidden="1">'LP Model'!$G$13:$G$15</definedName>
    <definedName name="solver_lin" localSheetId="2" hidden="1">1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2</definedName>
    <definedName name="solver_opt" localSheetId="2" hidden="1">'LP Model'!$B$21</definedName>
    <definedName name="solver_pre" localSheetId="2" hidden="1">0.000001</definedName>
    <definedName name="solver_rbv" localSheetId="2" hidden="1">1</definedName>
    <definedName name="solver_rel1" localSheetId="2" hidden="1">3</definedName>
    <definedName name="solver_rel2" localSheetId="2" hidden="1">1</definedName>
    <definedName name="solver_rhs1" localSheetId="2" hidden="1">'LP Model'!$C$18:$F$18</definedName>
    <definedName name="solver_rhs2" localSheetId="2" hidden="1">'LP Model'!$I$13:$I$15</definedName>
    <definedName name="solver_rlx" localSheetId="2" hidden="1">1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2</definedName>
    <definedName name="solver_val" localSheetId="2" hidden="1">0</definedName>
    <definedName name="solver_ver" localSheetId="2" hidden="1">2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4" l="1"/>
  <c r="G15" i="4"/>
  <c r="G14" i="4"/>
  <c r="G13" i="4"/>
  <c r="F16" i="4"/>
  <c r="E16" i="4"/>
  <c r="D16" i="4"/>
  <c r="C16" i="4"/>
  <c r="L30" i="1" l="1"/>
  <c r="A30" i="1"/>
</calcChain>
</file>

<file path=xl/sharedStrings.xml><?xml version="1.0" encoding="utf-8"?>
<sst xmlns="http://schemas.openxmlformats.org/spreadsheetml/2006/main" count="43" uniqueCount="24">
  <si>
    <t>Supply</t>
  </si>
  <si>
    <t>Demand</t>
  </si>
  <si>
    <t>Silo Names</t>
  </si>
  <si>
    <t>Mill Names</t>
  </si>
  <si>
    <r>
      <rPr>
        <i/>
        <sz val="12"/>
        <color theme="1"/>
        <rFont val="Aptos Narrow"/>
        <scheme val="minor"/>
      </rPr>
      <t xml:space="preserve">Unit Transportation cost per truckload in </t>
    </r>
    <r>
      <rPr>
        <sz val="12"/>
        <color theme="1"/>
        <rFont val="Aptos Narrow"/>
        <scheme val="minor"/>
      </rPr>
      <t>$ '00</t>
    </r>
  </si>
  <si>
    <t>Exeter Transport Company</t>
  </si>
  <si>
    <t>Unit Transportation cost per truckload in $ '00</t>
  </si>
  <si>
    <t>To</t>
  </si>
  <si>
    <t>From</t>
  </si>
  <si>
    <t>Kansas city</t>
  </si>
  <si>
    <t>Chicago</t>
  </si>
  <si>
    <t>St. Louis</t>
  </si>
  <si>
    <t>Cincinnati</t>
  </si>
  <si>
    <t>Detroit</t>
  </si>
  <si>
    <t>Omaha</t>
  </si>
  <si>
    <t>Des Moines</t>
  </si>
  <si>
    <t>Shipping plan, and constraints on supply and demand</t>
  </si>
  <si>
    <t>Total Received</t>
  </si>
  <si>
    <t>&gt;=</t>
  </si>
  <si>
    <t>Total Shipped</t>
  </si>
  <si>
    <t>&lt;=</t>
  </si>
  <si>
    <t xml:space="preserve">Demand </t>
  </si>
  <si>
    <t>Objective to Minimize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</si>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</sst>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sz val="12"/>
      <color theme="4"/>
      <name val="Aptos Narrow (Body)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7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Alignment="0" applyProtection="0"/>
    <xf numFmtId="0" fontId="1" fillId="5" borderId="0" applyNumberFormat="0" applyBorder="0" applyAlignment="0" applyProtection="0"/>
  </cellStyleXfs>
  <cellXfs count="11">
    <xf numFmtId="0" fontId="0" fillId="0" borderId="0" xfId="0"/>
    <xf numFmtId="0" fontId="5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2" fillId="2" borderId="0" xfId="1"/>
    <xf numFmtId="0" fontId="6" fillId="0" borderId="0" xfId="0" applyFont="1"/>
    <xf numFmtId="0" fontId="8" fillId="0" borderId="0" xfId="0" applyFont="1"/>
    <xf numFmtId="0" fontId="0" fillId="0" borderId="0" xfId="0" applyAlignment="1">
      <alignment horizontal="center"/>
    </xf>
    <xf numFmtId="0" fontId="3" fillId="3" borderId="0" xfId="2"/>
    <xf numFmtId="0" fontId="4" fillId="4" borderId="1" xfId="3"/>
    <xf numFmtId="0" fontId="1" fillId="5" borderId="0" xfId="4"/>
  </cellXfs>
  <cellStyles count="5">
    <cellStyle name="20% - Accent4" xfId="4" builtinId="42"/>
    <cellStyle name="Good" xfId="1" builtinId="26"/>
    <cellStyle name="Input" xfId="3" builtinId="20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495300</xdr:colOff>
      <xdr:row>7</xdr:row>
      <xdr:rowOff>25400</xdr:rowOff>
    </xdr:from>
    <xdr:to>
      <xdr:col>3</xdr:col>
      <xdr:colOff>342900</xdr:colOff>
      <xdr:row>12</xdr:row>
      <xdr:rowOff>190500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64825DF4-C061-77B4-1F42-6370DA210D53}"/>
            </a:ext>
          </a:extLst>
        </xdr:cNvPr>
        <xdr:cNvSpPr/>
      </xdr:nvSpPr>
      <xdr:spPr>
        <a:xfrm>
          <a:off x="1320800" y="1447800"/>
          <a:ext cx="1498600" cy="1181100"/>
        </a:xfrm>
        <a:prstGeom prst="ellipse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50800</xdr:colOff>
      <xdr:row>8</xdr:row>
      <xdr:rowOff>152400</xdr:rowOff>
    </xdr:from>
    <xdr:to>
      <xdr:col>2</xdr:col>
      <xdr:colOff>812800</xdr:colOff>
      <xdr:row>11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A698435-9EBC-9472-661F-7377DF76860D}"/>
            </a:ext>
          </a:extLst>
        </xdr:cNvPr>
        <xdr:cNvSpPr txBox="1"/>
      </xdr:nvSpPr>
      <xdr:spPr>
        <a:xfrm>
          <a:off x="1701800" y="1778000"/>
          <a:ext cx="762000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400">
              <a:latin typeface="+mn-lt"/>
            </a:rPr>
            <a:t>Kansas City</a:t>
          </a:r>
        </a:p>
        <a:p>
          <a:endParaRPr lang="en-GB" sz="1400">
            <a:latin typeface="+mn-lt"/>
          </a:endParaRPr>
        </a:p>
      </xdr:txBody>
    </xdr:sp>
    <xdr:clientData/>
  </xdr:twoCellAnchor>
  <xdr:twoCellAnchor>
    <xdr:from>
      <xdr:col>1</xdr:col>
      <xdr:colOff>533400</xdr:colOff>
      <xdr:row>14</xdr:row>
      <xdr:rowOff>25400</xdr:rowOff>
    </xdr:from>
    <xdr:to>
      <xdr:col>3</xdr:col>
      <xdr:colOff>381000</xdr:colOff>
      <xdr:row>19</xdr:row>
      <xdr:rowOff>190500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63C506B2-895D-E743-8398-2F1B1F407A1C}"/>
            </a:ext>
          </a:extLst>
        </xdr:cNvPr>
        <xdr:cNvSpPr/>
      </xdr:nvSpPr>
      <xdr:spPr>
        <a:xfrm>
          <a:off x="1358900" y="2870200"/>
          <a:ext cx="1498600" cy="1181100"/>
        </a:xfrm>
        <a:prstGeom prst="ellipse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533400</xdr:colOff>
      <xdr:row>21</xdr:row>
      <xdr:rowOff>38100</xdr:rowOff>
    </xdr:from>
    <xdr:to>
      <xdr:col>3</xdr:col>
      <xdr:colOff>381000</xdr:colOff>
      <xdr:row>27</xdr:row>
      <xdr:rowOff>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8BC978A2-957B-A443-BA86-0BDC0478C02C}"/>
            </a:ext>
          </a:extLst>
        </xdr:cNvPr>
        <xdr:cNvSpPr/>
      </xdr:nvSpPr>
      <xdr:spPr>
        <a:xfrm>
          <a:off x="1358900" y="4305300"/>
          <a:ext cx="1498600" cy="1181100"/>
        </a:xfrm>
        <a:prstGeom prst="ellipse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50800</xdr:colOff>
      <xdr:row>16</xdr:row>
      <xdr:rowOff>25400</xdr:rowOff>
    </xdr:from>
    <xdr:to>
      <xdr:col>3</xdr:col>
      <xdr:colOff>12700</xdr:colOff>
      <xdr:row>18</xdr:row>
      <xdr:rowOff>50800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047A906-4C12-A141-A218-76981564B510}"/>
            </a:ext>
          </a:extLst>
        </xdr:cNvPr>
        <xdr:cNvSpPr txBox="1"/>
      </xdr:nvSpPr>
      <xdr:spPr>
        <a:xfrm>
          <a:off x="1701800" y="3276600"/>
          <a:ext cx="787400" cy="431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400">
              <a:latin typeface="+mn-lt"/>
            </a:rPr>
            <a:t>Omaha</a:t>
          </a:r>
        </a:p>
        <a:p>
          <a:endParaRPr lang="en-GB" sz="1400">
            <a:latin typeface="+mn-lt"/>
          </a:endParaRPr>
        </a:p>
      </xdr:txBody>
    </xdr:sp>
    <xdr:clientData/>
  </xdr:twoCellAnchor>
  <xdr:twoCellAnchor>
    <xdr:from>
      <xdr:col>2</xdr:col>
      <xdr:colOff>38100</xdr:colOff>
      <xdr:row>23</xdr:row>
      <xdr:rowOff>25400</xdr:rowOff>
    </xdr:from>
    <xdr:to>
      <xdr:col>2</xdr:col>
      <xdr:colOff>787400</xdr:colOff>
      <xdr:row>25</xdr:row>
      <xdr:rowOff>165100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07769A8-6076-6B47-BC57-78889758ABC3}"/>
            </a:ext>
          </a:extLst>
        </xdr:cNvPr>
        <xdr:cNvSpPr txBox="1"/>
      </xdr:nvSpPr>
      <xdr:spPr>
        <a:xfrm>
          <a:off x="1689100" y="4699000"/>
          <a:ext cx="749300" cy="546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400">
              <a:latin typeface="+mn-lt"/>
            </a:rPr>
            <a:t>Des Moines</a:t>
          </a:r>
        </a:p>
        <a:p>
          <a:endParaRPr lang="en-GB" sz="1400">
            <a:latin typeface="+mn-lt"/>
          </a:endParaRPr>
        </a:p>
      </xdr:txBody>
    </xdr:sp>
    <xdr:clientData/>
  </xdr:twoCellAnchor>
  <xdr:twoCellAnchor>
    <xdr:from>
      <xdr:col>8</xdr:col>
      <xdr:colOff>482600</xdr:colOff>
      <xdr:row>3</xdr:row>
      <xdr:rowOff>0</xdr:rowOff>
    </xdr:from>
    <xdr:to>
      <xdr:col>10</xdr:col>
      <xdr:colOff>330200</xdr:colOff>
      <xdr:row>8</xdr:row>
      <xdr:rowOff>165100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DFD6392F-0EAD-F64A-AA8D-2486F3BEF82E}"/>
            </a:ext>
          </a:extLst>
        </xdr:cNvPr>
        <xdr:cNvSpPr/>
      </xdr:nvSpPr>
      <xdr:spPr>
        <a:xfrm>
          <a:off x="7086600" y="609600"/>
          <a:ext cx="1498600" cy="1181100"/>
        </a:xfrm>
        <a:prstGeom prst="ellipse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495300</xdr:colOff>
      <xdr:row>10</xdr:row>
      <xdr:rowOff>38100</xdr:rowOff>
    </xdr:from>
    <xdr:to>
      <xdr:col>10</xdr:col>
      <xdr:colOff>342900</xdr:colOff>
      <xdr:row>16</xdr:row>
      <xdr:rowOff>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CA7C47A0-8549-5744-B177-87BE3E3EEF53}"/>
            </a:ext>
          </a:extLst>
        </xdr:cNvPr>
        <xdr:cNvSpPr/>
      </xdr:nvSpPr>
      <xdr:spPr>
        <a:xfrm>
          <a:off x="7099300" y="2070100"/>
          <a:ext cx="1498600" cy="1181100"/>
        </a:xfrm>
        <a:prstGeom prst="ellipse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520700</xdr:colOff>
      <xdr:row>17</xdr:row>
      <xdr:rowOff>38100</xdr:rowOff>
    </xdr:from>
    <xdr:to>
      <xdr:col>10</xdr:col>
      <xdr:colOff>368300</xdr:colOff>
      <xdr:row>23</xdr:row>
      <xdr:rowOff>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72EB00A1-2D87-3F44-84B4-B66453C5BA25}"/>
            </a:ext>
          </a:extLst>
        </xdr:cNvPr>
        <xdr:cNvSpPr/>
      </xdr:nvSpPr>
      <xdr:spPr>
        <a:xfrm>
          <a:off x="7124700" y="3492500"/>
          <a:ext cx="1498600" cy="1181100"/>
        </a:xfrm>
        <a:prstGeom prst="ellipse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558800</xdr:colOff>
      <xdr:row>24</xdr:row>
      <xdr:rowOff>50800</xdr:rowOff>
    </xdr:from>
    <xdr:to>
      <xdr:col>10</xdr:col>
      <xdr:colOff>406400</xdr:colOff>
      <xdr:row>30</xdr:row>
      <xdr:rowOff>12700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26D91025-DCA8-5641-8135-D64FF0BAAA63}"/>
            </a:ext>
          </a:extLst>
        </xdr:cNvPr>
        <xdr:cNvSpPr/>
      </xdr:nvSpPr>
      <xdr:spPr>
        <a:xfrm>
          <a:off x="7162800" y="4927600"/>
          <a:ext cx="1498600" cy="1181100"/>
        </a:xfrm>
        <a:prstGeom prst="ellipse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800100</xdr:colOff>
      <xdr:row>4</xdr:row>
      <xdr:rowOff>177800</xdr:rowOff>
    </xdr:from>
    <xdr:to>
      <xdr:col>10</xdr:col>
      <xdr:colOff>12700</xdr:colOff>
      <xdr:row>6</xdr:row>
      <xdr:rowOff>190500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5E4AE74-C3F9-854F-B5BC-E4D95E0C099E}"/>
            </a:ext>
          </a:extLst>
        </xdr:cNvPr>
        <xdr:cNvSpPr txBox="1"/>
      </xdr:nvSpPr>
      <xdr:spPr>
        <a:xfrm>
          <a:off x="7404100" y="990600"/>
          <a:ext cx="863600" cy="419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400">
              <a:latin typeface="+mn-lt"/>
            </a:rPr>
            <a:t>Chicago</a:t>
          </a:r>
        </a:p>
        <a:p>
          <a:endParaRPr lang="en-GB" sz="1400">
            <a:latin typeface="+mn-lt"/>
          </a:endParaRPr>
        </a:p>
      </xdr:txBody>
    </xdr:sp>
    <xdr:clientData/>
  </xdr:twoCellAnchor>
  <xdr:twoCellAnchor>
    <xdr:from>
      <xdr:col>8</xdr:col>
      <xdr:colOff>787400</xdr:colOff>
      <xdr:row>11</xdr:row>
      <xdr:rowOff>152400</xdr:rowOff>
    </xdr:from>
    <xdr:to>
      <xdr:col>10</xdr:col>
      <xdr:colOff>25400</xdr:colOff>
      <xdr:row>13</xdr:row>
      <xdr:rowOff>139700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BA7DA80B-D02B-2A45-AD84-54DDDE9E8BE5}"/>
            </a:ext>
          </a:extLst>
        </xdr:cNvPr>
        <xdr:cNvSpPr txBox="1"/>
      </xdr:nvSpPr>
      <xdr:spPr>
        <a:xfrm>
          <a:off x="7391400" y="2387600"/>
          <a:ext cx="889000" cy="393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400">
              <a:latin typeface="+mn-lt"/>
            </a:rPr>
            <a:t>St. Louis</a:t>
          </a:r>
        </a:p>
        <a:p>
          <a:endParaRPr lang="en-GB" sz="1400">
            <a:latin typeface="+mn-lt"/>
          </a:endParaRPr>
        </a:p>
      </xdr:txBody>
    </xdr:sp>
    <xdr:clientData/>
  </xdr:twoCellAnchor>
  <xdr:twoCellAnchor>
    <xdr:from>
      <xdr:col>8</xdr:col>
      <xdr:colOff>812800</xdr:colOff>
      <xdr:row>19</xdr:row>
      <xdr:rowOff>76200</xdr:rowOff>
    </xdr:from>
    <xdr:to>
      <xdr:col>10</xdr:col>
      <xdr:colOff>101600</xdr:colOff>
      <xdr:row>20</xdr:row>
      <xdr:rowOff>165100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1B1CCE8D-84B6-6648-96CD-422DBC66B279}"/>
            </a:ext>
          </a:extLst>
        </xdr:cNvPr>
        <xdr:cNvSpPr txBox="1"/>
      </xdr:nvSpPr>
      <xdr:spPr>
        <a:xfrm>
          <a:off x="7416800" y="3937000"/>
          <a:ext cx="939800" cy="292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400">
              <a:latin typeface="+mn-lt"/>
            </a:rPr>
            <a:t>Cincinnati</a:t>
          </a:r>
        </a:p>
        <a:p>
          <a:endParaRPr lang="en-GB" sz="1400">
            <a:latin typeface="+mn-lt"/>
          </a:endParaRPr>
        </a:p>
      </xdr:txBody>
    </xdr:sp>
    <xdr:clientData/>
  </xdr:twoCellAnchor>
  <xdr:twoCellAnchor>
    <xdr:from>
      <xdr:col>9</xdr:col>
      <xdr:colOff>25400</xdr:colOff>
      <xdr:row>26</xdr:row>
      <xdr:rowOff>63500</xdr:rowOff>
    </xdr:from>
    <xdr:to>
      <xdr:col>9</xdr:col>
      <xdr:colOff>800100</xdr:colOff>
      <xdr:row>28</xdr:row>
      <xdr:rowOff>25400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B38F389-104D-9440-8F5C-F12A4D412B24}"/>
            </a:ext>
          </a:extLst>
        </xdr:cNvPr>
        <xdr:cNvSpPr txBox="1"/>
      </xdr:nvSpPr>
      <xdr:spPr>
        <a:xfrm flipH="1">
          <a:off x="7454900" y="5346700"/>
          <a:ext cx="774700" cy="368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400">
              <a:latin typeface="+mn-lt"/>
            </a:rPr>
            <a:t>Detroit</a:t>
          </a:r>
        </a:p>
        <a:p>
          <a:endParaRPr lang="en-GB" sz="1400">
            <a:latin typeface="+mn-lt"/>
          </a:endParaRPr>
        </a:p>
      </xdr:txBody>
    </xdr:sp>
    <xdr:clientData/>
  </xdr:twoCellAnchor>
  <xdr:twoCellAnchor>
    <xdr:from>
      <xdr:col>3</xdr:col>
      <xdr:colOff>342900</xdr:colOff>
      <xdr:row>5</xdr:row>
      <xdr:rowOff>184150</xdr:rowOff>
    </xdr:from>
    <xdr:to>
      <xdr:col>8</xdr:col>
      <xdr:colOff>482600</xdr:colOff>
      <xdr:row>10</xdr:row>
      <xdr:rowOff>6350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7ECFA58D-CD7A-8501-1A93-604BCFF90CA8}"/>
            </a:ext>
          </a:extLst>
        </xdr:cNvPr>
        <xdr:cNvCxnSpPr>
          <a:stCxn id="2" idx="6"/>
          <a:endCxn id="9" idx="2"/>
        </xdr:cNvCxnSpPr>
      </xdr:nvCxnSpPr>
      <xdr:spPr>
        <a:xfrm flipV="1">
          <a:off x="2819400" y="1200150"/>
          <a:ext cx="4267200" cy="8382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342900</xdr:colOff>
      <xdr:row>10</xdr:row>
      <xdr:rowOff>6350</xdr:rowOff>
    </xdr:from>
    <xdr:to>
      <xdr:col>8</xdr:col>
      <xdr:colOff>495300</xdr:colOff>
      <xdr:row>13</xdr:row>
      <xdr:rowOff>19050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94363894-1512-1648-8BF4-AC218114F141}"/>
            </a:ext>
          </a:extLst>
        </xdr:cNvPr>
        <xdr:cNvCxnSpPr>
          <a:stCxn id="2" idx="6"/>
          <a:endCxn id="10" idx="2"/>
        </xdr:cNvCxnSpPr>
      </xdr:nvCxnSpPr>
      <xdr:spPr>
        <a:xfrm>
          <a:off x="2819400" y="2038350"/>
          <a:ext cx="4279900" cy="6223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342900</xdr:colOff>
      <xdr:row>10</xdr:row>
      <xdr:rowOff>6350</xdr:rowOff>
    </xdr:from>
    <xdr:to>
      <xdr:col>8</xdr:col>
      <xdr:colOff>558800</xdr:colOff>
      <xdr:row>27</xdr:row>
      <xdr:rowOff>31750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ABF39324-D256-944C-88A3-695A6208FAB0}"/>
            </a:ext>
          </a:extLst>
        </xdr:cNvPr>
        <xdr:cNvCxnSpPr>
          <a:stCxn id="2" idx="6"/>
          <a:endCxn id="12" idx="2"/>
        </xdr:cNvCxnSpPr>
      </xdr:nvCxnSpPr>
      <xdr:spPr>
        <a:xfrm>
          <a:off x="2819400" y="2038350"/>
          <a:ext cx="4343400" cy="34798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342900</xdr:colOff>
      <xdr:row>10</xdr:row>
      <xdr:rowOff>6350</xdr:rowOff>
    </xdr:from>
    <xdr:to>
      <xdr:col>8</xdr:col>
      <xdr:colOff>520700</xdr:colOff>
      <xdr:row>20</xdr:row>
      <xdr:rowOff>19050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97354F6B-BF6F-354D-85B2-C9E65CB23CDF}"/>
            </a:ext>
          </a:extLst>
        </xdr:cNvPr>
        <xdr:cNvCxnSpPr>
          <a:stCxn id="2" idx="6"/>
          <a:endCxn id="11" idx="2"/>
        </xdr:cNvCxnSpPr>
      </xdr:nvCxnSpPr>
      <xdr:spPr>
        <a:xfrm>
          <a:off x="2819400" y="2038350"/>
          <a:ext cx="4305300" cy="2044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5</xdr:row>
      <xdr:rowOff>184150</xdr:rowOff>
    </xdr:from>
    <xdr:to>
      <xdr:col>8</xdr:col>
      <xdr:colOff>482600</xdr:colOff>
      <xdr:row>17</xdr:row>
      <xdr:rowOff>6350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1B215E10-DA6B-184E-BE1F-331F2BB645C9}"/>
            </a:ext>
          </a:extLst>
        </xdr:cNvPr>
        <xdr:cNvCxnSpPr>
          <a:stCxn id="4" idx="6"/>
          <a:endCxn id="9" idx="2"/>
        </xdr:cNvCxnSpPr>
      </xdr:nvCxnSpPr>
      <xdr:spPr>
        <a:xfrm flipV="1">
          <a:off x="2857500" y="1200150"/>
          <a:ext cx="4229100" cy="2260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13</xdr:row>
      <xdr:rowOff>19050</xdr:rowOff>
    </xdr:from>
    <xdr:to>
      <xdr:col>8</xdr:col>
      <xdr:colOff>495300</xdr:colOff>
      <xdr:row>17</xdr:row>
      <xdr:rowOff>6350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4AFA1FF8-C06D-064A-9FB4-A511ACA018DF}"/>
            </a:ext>
          </a:extLst>
        </xdr:cNvPr>
        <xdr:cNvCxnSpPr>
          <a:stCxn id="4" idx="6"/>
          <a:endCxn id="10" idx="2"/>
        </xdr:cNvCxnSpPr>
      </xdr:nvCxnSpPr>
      <xdr:spPr>
        <a:xfrm flipV="1">
          <a:off x="2857500" y="2660650"/>
          <a:ext cx="4241800" cy="800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17</xdr:row>
      <xdr:rowOff>6350</xdr:rowOff>
    </xdr:from>
    <xdr:to>
      <xdr:col>8</xdr:col>
      <xdr:colOff>520700</xdr:colOff>
      <xdr:row>20</xdr:row>
      <xdr:rowOff>19050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A67C4592-78D9-6649-AE60-E876C8B541EA}"/>
            </a:ext>
          </a:extLst>
        </xdr:cNvPr>
        <xdr:cNvCxnSpPr>
          <a:stCxn id="4" idx="6"/>
          <a:endCxn id="11" idx="2"/>
        </xdr:cNvCxnSpPr>
      </xdr:nvCxnSpPr>
      <xdr:spPr>
        <a:xfrm>
          <a:off x="2857500" y="3460750"/>
          <a:ext cx="4267200" cy="622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17</xdr:row>
      <xdr:rowOff>6350</xdr:rowOff>
    </xdr:from>
    <xdr:to>
      <xdr:col>8</xdr:col>
      <xdr:colOff>558800</xdr:colOff>
      <xdr:row>27</xdr:row>
      <xdr:rowOff>31750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2A5DB519-0DF4-0246-8D7D-BCD982BBED63}"/>
            </a:ext>
          </a:extLst>
        </xdr:cNvPr>
        <xdr:cNvCxnSpPr>
          <a:stCxn id="4" idx="6"/>
          <a:endCxn id="12" idx="2"/>
        </xdr:cNvCxnSpPr>
      </xdr:nvCxnSpPr>
      <xdr:spPr>
        <a:xfrm>
          <a:off x="2857500" y="3460750"/>
          <a:ext cx="4305300" cy="2057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5</xdr:row>
      <xdr:rowOff>184150</xdr:rowOff>
    </xdr:from>
    <xdr:to>
      <xdr:col>8</xdr:col>
      <xdr:colOff>482600</xdr:colOff>
      <xdr:row>24</xdr:row>
      <xdr:rowOff>19050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4180D08C-216B-D128-218A-18681CAD639E}"/>
            </a:ext>
          </a:extLst>
        </xdr:cNvPr>
        <xdr:cNvCxnSpPr>
          <a:stCxn id="5" idx="6"/>
          <a:endCxn id="9" idx="2"/>
        </xdr:cNvCxnSpPr>
      </xdr:nvCxnSpPr>
      <xdr:spPr>
        <a:xfrm flipV="1">
          <a:off x="2857500" y="1200150"/>
          <a:ext cx="4229100" cy="36957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13</xdr:row>
      <xdr:rowOff>19050</xdr:rowOff>
    </xdr:from>
    <xdr:to>
      <xdr:col>8</xdr:col>
      <xdr:colOff>495300</xdr:colOff>
      <xdr:row>24</xdr:row>
      <xdr:rowOff>19050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78077B20-0F2A-2248-8BFA-4BF1B58C2AF6}"/>
            </a:ext>
          </a:extLst>
        </xdr:cNvPr>
        <xdr:cNvCxnSpPr>
          <a:stCxn id="5" idx="6"/>
          <a:endCxn id="10" idx="2"/>
        </xdr:cNvCxnSpPr>
      </xdr:nvCxnSpPr>
      <xdr:spPr>
        <a:xfrm flipV="1">
          <a:off x="2857500" y="2660650"/>
          <a:ext cx="4241800" cy="22352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20</xdr:row>
      <xdr:rowOff>19050</xdr:rowOff>
    </xdr:from>
    <xdr:to>
      <xdr:col>8</xdr:col>
      <xdr:colOff>520700</xdr:colOff>
      <xdr:row>24</xdr:row>
      <xdr:rowOff>19050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80D1E93D-4C30-694E-A7CB-009B9A619DCA}"/>
            </a:ext>
          </a:extLst>
        </xdr:cNvPr>
        <xdr:cNvCxnSpPr>
          <a:stCxn id="5" idx="6"/>
          <a:endCxn id="11" idx="2"/>
        </xdr:cNvCxnSpPr>
      </xdr:nvCxnSpPr>
      <xdr:spPr>
        <a:xfrm flipV="1">
          <a:off x="2857500" y="4083050"/>
          <a:ext cx="4267200" cy="8128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24</xdr:row>
      <xdr:rowOff>19050</xdr:rowOff>
    </xdr:from>
    <xdr:to>
      <xdr:col>8</xdr:col>
      <xdr:colOff>558800</xdr:colOff>
      <xdr:row>27</xdr:row>
      <xdr:rowOff>31750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E71AD7D5-2A52-2D4C-B0F2-522C899BDDFB}"/>
            </a:ext>
          </a:extLst>
        </xdr:cNvPr>
        <xdr:cNvCxnSpPr>
          <a:stCxn id="5" idx="6"/>
          <a:endCxn id="12" idx="2"/>
        </xdr:cNvCxnSpPr>
      </xdr:nvCxnSpPr>
      <xdr:spPr>
        <a:xfrm>
          <a:off x="2857500" y="4895850"/>
          <a:ext cx="4305300" cy="6223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750026</xdr:colOff>
      <xdr:row>7</xdr:row>
      <xdr:rowOff>64426</xdr:rowOff>
    </xdr:from>
    <xdr:to>
      <xdr:col>5</xdr:col>
      <xdr:colOff>346414</xdr:colOff>
      <xdr:row>8</xdr:row>
      <xdr:rowOff>121381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417AB9D4-1EB9-3107-1267-1561C8A204A1}"/>
            </a:ext>
          </a:extLst>
        </xdr:cNvPr>
        <xdr:cNvSpPr txBox="1"/>
      </xdr:nvSpPr>
      <xdr:spPr>
        <a:xfrm rot="20902405">
          <a:off x="4052026" y="1486826"/>
          <a:ext cx="421888" cy="2601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accent1"/>
              </a:solidFill>
            </a:rPr>
            <a:t>10</a:t>
          </a:r>
        </a:p>
      </xdr:txBody>
    </xdr:sp>
    <xdr:clientData/>
  </xdr:twoCellAnchor>
  <xdr:twoCellAnchor>
    <xdr:from>
      <xdr:col>4</xdr:col>
      <xdr:colOff>775314</xdr:colOff>
      <xdr:row>9</xdr:row>
      <xdr:rowOff>170502</xdr:rowOff>
    </xdr:from>
    <xdr:to>
      <xdr:col>5</xdr:col>
      <xdr:colOff>276162</xdr:colOff>
      <xdr:row>10</xdr:row>
      <xdr:rowOff>188783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5D285CC6-8FCA-1344-91C9-6628156F7F89}"/>
            </a:ext>
          </a:extLst>
        </xdr:cNvPr>
        <xdr:cNvSpPr txBox="1"/>
      </xdr:nvSpPr>
      <xdr:spPr>
        <a:xfrm rot="611306">
          <a:off x="4077314" y="1999302"/>
          <a:ext cx="326348" cy="22148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accent1"/>
              </a:solidFill>
            </a:rPr>
            <a:t>2</a:t>
          </a:r>
        </a:p>
      </xdr:txBody>
    </xdr:sp>
    <xdr:clientData/>
  </xdr:twoCellAnchor>
  <xdr:twoCellAnchor>
    <xdr:from>
      <xdr:col>4</xdr:col>
      <xdr:colOff>546100</xdr:colOff>
      <xdr:row>11</xdr:row>
      <xdr:rowOff>76200</xdr:rowOff>
    </xdr:from>
    <xdr:to>
      <xdr:col>5</xdr:col>
      <xdr:colOff>101600</xdr:colOff>
      <xdr:row>12</xdr:row>
      <xdr:rowOff>139700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318B7D8F-9FA0-0547-B13C-F06457E49F8C}"/>
            </a:ext>
          </a:extLst>
        </xdr:cNvPr>
        <xdr:cNvSpPr txBox="1"/>
      </xdr:nvSpPr>
      <xdr:spPr>
        <a:xfrm>
          <a:off x="3848100" y="2311400"/>
          <a:ext cx="38100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accent1"/>
              </a:solidFill>
            </a:rPr>
            <a:t>20</a:t>
          </a:r>
        </a:p>
      </xdr:txBody>
    </xdr:sp>
    <xdr:clientData/>
  </xdr:twoCellAnchor>
  <xdr:twoCellAnchor>
    <xdr:from>
      <xdr:col>3</xdr:col>
      <xdr:colOff>685799</xdr:colOff>
      <xdr:row>12</xdr:row>
      <xdr:rowOff>139700</xdr:rowOff>
    </xdr:from>
    <xdr:to>
      <xdr:col>4</xdr:col>
      <xdr:colOff>203200</xdr:colOff>
      <xdr:row>14</xdr:row>
      <xdr:rowOff>1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51AA052A-7FB3-FB46-9A82-669410804F86}"/>
            </a:ext>
          </a:extLst>
        </xdr:cNvPr>
        <xdr:cNvSpPr txBox="1"/>
      </xdr:nvSpPr>
      <xdr:spPr>
        <a:xfrm>
          <a:off x="3162299" y="2578100"/>
          <a:ext cx="342901" cy="2667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accent1"/>
              </a:solidFill>
            </a:rPr>
            <a:t>11</a:t>
          </a:r>
        </a:p>
      </xdr:txBody>
    </xdr:sp>
    <xdr:clientData/>
  </xdr:twoCellAnchor>
  <xdr:twoCellAnchor>
    <xdr:from>
      <xdr:col>6</xdr:col>
      <xdr:colOff>189994</xdr:colOff>
      <xdr:row>9</xdr:row>
      <xdr:rowOff>19537</xdr:rowOff>
    </xdr:from>
    <xdr:to>
      <xdr:col>6</xdr:col>
      <xdr:colOff>584842</xdr:colOff>
      <xdr:row>10</xdr:row>
      <xdr:rowOff>76919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61680B12-5235-AE46-99B3-38BD30AFAE84}"/>
            </a:ext>
          </a:extLst>
        </xdr:cNvPr>
        <xdr:cNvSpPr txBox="1"/>
      </xdr:nvSpPr>
      <xdr:spPr>
        <a:xfrm rot="20002105">
          <a:off x="5142994" y="1848337"/>
          <a:ext cx="394848" cy="2605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accent6"/>
              </a:solidFill>
            </a:rPr>
            <a:t>12</a:t>
          </a:r>
        </a:p>
      </xdr:txBody>
    </xdr:sp>
    <xdr:clientData/>
  </xdr:twoCellAnchor>
  <xdr:twoCellAnchor>
    <xdr:from>
      <xdr:col>6</xdr:col>
      <xdr:colOff>540398</xdr:colOff>
      <xdr:row>13</xdr:row>
      <xdr:rowOff>28164</xdr:rowOff>
    </xdr:from>
    <xdr:to>
      <xdr:col>7</xdr:col>
      <xdr:colOff>28874</xdr:colOff>
      <xdr:row>14</xdr:row>
      <xdr:rowOff>72655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EC886E36-DF09-BA40-A8E1-AC30DACEB766}"/>
            </a:ext>
          </a:extLst>
        </xdr:cNvPr>
        <xdr:cNvSpPr txBox="1"/>
      </xdr:nvSpPr>
      <xdr:spPr>
        <a:xfrm rot="20895157">
          <a:off x="5493398" y="2669764"/>
          <a:ext cx="313976" cy="24769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accent6"/>
              </a:solidFill>
            </a:rPr>
            <a:t>7</a:t>
          </a:r>
        </a:p>
      </xdr:txBody>
    </xdr:sp>
    <xdr:clientData/>
  </xdr:twoCellAnchor>
  <xdr:twoCellAnchor>
    <xdr:from>
      <xdr:col>6</xdr:col>
      <xdr:colOff>528167</xdr:colOff>
      <xdr:row>17</xdr:row>
      <xdr:rowOff>123346</xdr:rowOff>
    </xdr:from>
    <xdr:to>
      <xdr:col>7</xdr:col>
      <xdr:colOff>40040</xdr:colOff>
      <xdr:row>18</xdr:row>
      <xdr:rowOff>201120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4AFDB6D3-D1E9-A444-94F0-6DAAB45A6A0B}"/>
            </a:ext>
          </a:extLst>
        </xdr:cNvPr>
        <xdr:cNvSpPr txBox="1"/>
      </xdr:nvSpPr>
      <xdr:spPr>
        <a:xfrm rot="607828">
          <a:off x="5481167" y="3577746"/>
          <a:ext cx="337373" cy="2809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accent6"/>
              </a:solidFill>
            </a:rPr>
            <a:t>9</a:t>
          </a:r>
        </a:p>
      </xdr:txBody>
    </xdr:sp>
    <xdr:clientData/>
  </xdr:twoCellAnchor>
  <xdr:twoCellAnchor>
    <xdr:from>
      <xdr:col>5</xdr:col>
      <xdr:colOff>455803</xdr:colOff>
      <xdr:row>20</xdr:row>
      <xdr:rowOff>7092</xdr:rowOff>
    </xdr:from>
    <xdr:to>
      <xdr:col>5</xdr:col>
      <xdr:colOff>809451</xdr:colOff>
      <xdr:row>21</xdr:row>
      <xdr:rowOff>71400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658196A7-F740-FF43-BD76-961DE19C963E}"/>
            </a:ext>
          </a:extLst>
        </xdr:cNvPr>
        <xdr:cNvSpPr txBox="1"/>
      </xdr:nvSpPr>
      <xdr:spPr>
        <a:xfrm rot="1715118">
          <a:off x="4583303" y="4071092"/>
          <a:ext cx="353648" cy="26750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accent6"/>
              </a:solidFill>
            </a:rPr>
            <a:t>20</a:t>
          </a:r>
        </a:p>
      </xdr:txBody>
    </xdr:sp>
    <xdr:clientData/>
  </xdr:twoCellAnchor>
  <xdr:twoCellAnchor>
    <xdr:from>
      <xdr:col>3</xdr:col>
      <xdr:colOff>569822</xdr:colOff>
      <xdr:row>20</xdr:row>
      <xdr:rowOff>101600</xdr:rowOff>
    </xdr:from>
    <xdr:to>
      <xdr:col>4</xdr:col>
      <xdr:colOff>114300</xdr:colOff>
      <xdr:row>21</xdr:row>
      <xdr:rowOff>139700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888295F0-6716-9D45-A6BB-B3F6B3833023}"/>
            </a:ext>
          </a:extLst>
        </xdr:cNvPr>
        <xdr:cNvSpPr txBox="1"/>
      </xdr:nvSpPr>
      <xdr:spPr>
        <a:xfrm>
          <a:off x="3046322" y="4165600"/>
          <a:ext cx="369978" cy="241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4</xdr:col>
      <xdr:colOff>392993</xdr:colOff>
      <xdr:row>20</xdr:row>
      <xdr:rowOff>23123</xdr:rowOff>
    </xdr:from>
    <xdr:to>
      <xdr:col>4</xdr:col>
      <xdr:colOff>750007</xdr:colOff>
      <xdr:row>21</xdr:row>
      <xdr:rowOff>65776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1AC68AC8-1E37-2D4B-9D72-01D75EE9E3A8}"/>
            </a:ext>
          </a:extLst>
        </xdr:cNvPr>
        <xdr:cNvSpPr txBox="1"/>
      </xdr:nvSpPr>
      <xdr:spPr>
        <a:xfrm rot="19829380">
          <a:off x="3694993" y="4087123"/>
          <a:ext cx="357014" cy="2458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tx1"/>
              </a:solidFill>
            </a:rPr>
            <a:t>14</a:t>
          </a:r>
        </a:p>
      </xdr:txBody>
    </xdr:sp>
    <xdr:clientData/>
  </xdr:twoCellAnchor>
  <xdr:twoCellAnchor>
    <xdr:from>
      <xdr:col>4</xdr:col>
      <xdr:colOff>780453</xdr:colOff>
      <xdr:row>21</xdr:row>
      <xdr:rowOff>90825</xdr:rowOff>
    </xdr:from>
    <xdr:to>
      <xdr:col>5</xdr:col>
      <xdr:colOff>315868</xdr:colOff>
      <xdr:row>22</xdr:row>
      <xdr:rowOff>143216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1E02FEE1-06A4-1D45-814B-405A0B8A3CF3}"/>
            </a:ext>
          </a:extLst>
        </xdr:cNvPr>
        <xdr:cNvSpPr txBox="1"/>
      </xdr:nvSpPr>
      <xdr:spPr>
        <a:xfrm rot="20756048">
          <a:off x="4082453" y="4358025"/>
          <a:ext cx="360915" cy="25559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tx1"/>
              </a:solidFill>
            </a:rPr>
            <a:t>16</a:t>
          </a:r>
        </a:p>
      </xdr:txBody>
    </xdr:sp>
    <xdr:clientData/>
  </xdr:twoCellAnchor>
  <xdr:twoCellAnchor>
    <xdr:from>
      <xdr:col>5</xdr:col>
      <xdr:colOff>512678</xdr:colOff>
      <xdr:row>24</xdr:row>
      <xdr:rowOff>26369</xdr:rowOff>
    </xdr:from>
    <xdr:to>
      <xdr:col>6</xdr:col>
      <xdr:colOff>66659</xdr:colOff>
      <xdr:row>25</xdr:row>
      <xdr:rowOff>55245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B8C79CF8-3596-4242-9360-E0A6A94EC5D4}"/>
            </a:ext>
          </a:extLst>
        </xdr:cNvPr>
        <xdr:cNvSpPr txBox="1"/>
      </xdr:nvSpPr>
      <xdr:spPr>
        <a:xfrm rot="525913">
          <a:off x="4640178" y="4903169"/>
          <a:ext cx="379481" cy="2320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tx1"/>
              </a:solidFill>
            </a:rPr>
            <a:t>18</a:t>
          </a:r>
        </a:p>
        <a:p>
          <a:endParaRPr lang="en-GB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25400</xdr:colOff>
      <xdr:row>2</xdr:row>
      <xdr:rowOff>50800</xdr:rowOff>
    </xdr:from>
    <xdr:to>
      <xdr:col>10</xdr:col>
      <xdr:colOff>12700</xdr:colOff>
      <xdr:row>11</xdr:row>
      <xdr:rowOff>76200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45E13A8-4924-CB09-5A42-249DB0B41593}"/>
            </a:ext>
          </a:extLst>
        </xdr:cNvPr>
        <xdr:cNvSpPr/>
      </xdr:nvSpPr>
      <xdr:spPr>
        <a:xfrm>
          <a:off x="1676400" y="457200"/>
          <a:ext cx="6591300" cy="185420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12700</xdr:colOff>
      <xdr:row>2</xdr:row>
      <xdr:rowOff>50800</xdr:rowOff>
    </xdr:from>
    <xdr:to>
      <xdr:col>4</xdr:col>
      <xdr:colOff>12700</xdr:colOff>
      <xdr:row>11</xdr:row>
      <xdr:rowOff>88900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B193074-2E42-8F58-F6DD-2E3DF0758299}"/>
            </a:ext>
          </a:extLst>
        </xdr:cNvPr>
        <xdr:cNvCxnSpPr/>
      </xdr:nvCxnSpPr>
      <xdr:spPr>
        <a:xfrm>
          <a:off x="3314700" y="457200"/>
          <a:ext cx="0" cy="18669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12700</xdr:colOff>
      <xdr:row>2</xdr:row>
      <xdr:rowOff>50800</xdr:rowOff>
    </xdr:from>
    <xdr:to>
      <xdr:col>6</xdr:col>
      <xdr:colOff>12700</xdr:colOff>
      <xdr:row>11</xdr:row>
      <xdr:rowOff>88900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4DBA2A43-4037-D24C-A721-AE95FC88D884}"/>
            </a:ext>
          </a:extLst>
        </xdr:cNvPr>
        <xdr:cNvCxnSpPr/>
      </xdr:nvCxnSpPr>
      <xdr:spPr>
        <a:xfrm>
          <a:off x="4965700" y="457200"/>
          <a:ext cx="0" cy="18669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12700</xdr:colOff>
      <xdr:row>2</xdr:row>
      <xdr:rowOff>38100</xdr:rowOff>
    </xdr:from>
    <xdr:to>
      <xdr:col>8</xdr:col>
      <xdr:colOff>12700</xdr:colOff>
      <xdr:row>11</xdr:row>
      <xdr:rowOff>76200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6CB72304-1732-0645-9F8B-1A949F0CE8E9}"/>
            </a:ext>
          </a:extLst>
        </xdr:cNvPr>
        <xdr:cNvCxnSpPr/>
      </xdr:nvCxnSpPr>
      <xdr:spPr>
        <a:xfrm>
          <a:off x="6616700" y="444500"/>
          <a:ext cx="0" cy="18669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5</xdr:row>
      <xdr:rowOff>0</xdr:rowOff>
    </xdr:from>
    <xdr:to>
      <xdr:col>10</xdr:col>
      <xdr:colOff>12700</xdr:colOff>
      <xdr:row>5</xdr:row>
      <xdr:rowOff>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84144FEE-B2E8-16A1-C296-B33E8D356C5C}"/>
            </a:ext>
          </a:extLst>
        </xdr:cNvPr>
        <xdr:cNvCxnSpPr/>
      </xdr:nvCxnSpPr>
      <xdr:spPr>
        <a:xfrm>
          <a:off x="825500" y="812800"/>
          <a:ext cx="66167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812800</xdr:colOff>
      <xdr:row>8</xdr:row>
      <xdr:rowOff>0</xdr:rowOff>
    </xdr:from>
    <xdr:to>
      <xdr:col>10</xdr:col>
      <xdr:colOff>0</xdr:colOff>
      <xdr:row>8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45CB4ED-6B5B-5304-4E2D-C15D4F702E75}"/>
            </a:ext>
          </a:extLst>
        </xdr:cNvPr>
        <xdr:cNvCxnSpPr/>
      </xdr:nvCxnSpPr>
      <xdr:spPr>
        <a:xfrm>
          <a:off x="812800" y="1422400"/>
          <a:ext cx="66167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279400</xdr:colOff>
      <xdr:row>2</xdr:row>
      <xdr:rowOff>76200</xdr:rowOff>
    </xdr:from>
    <xdr:to>
      <xdr:col>3</xdr:col>
      <xdr:colOff>812800</xdr:colOff>
      <xdr:row>3</xdr:row>
      <xdr:rowOff>177800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B38A8AFE-0BED-E5EF-13A4-76EB538AD19E}"/>
            </a:ext>
          </a:extLst>
        </xdr:cNvPr>
        <xdr:cNvSpPr txBox="1"/>
      </xdr:nvSpPr>
      <xdr:spPr>
        <a:xfrm>
          <a:off x="1930400" y="279400"/>
          <a:ext cx="53340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10</a:t>
          </a:r>
        </a:p>
      </xdr:txBody>
    </xdr:sp>
    <xdr:clientData/>
  </xdr:twoCellAnchor>
  <xdr:twoCellAnchor>
    <xdr:from>
      <xdr:col>5</xdr:col>
      <xdr:colOff>279400</xdr:colOff>
      <xdr:row>2</xdr:row>
      <xdr:rowOff>76200</xdr:rowOff>
    </xdr:from>
    <xdr:to>
      <xdr:col>5</xdr:col>
      <xdr:colOff>812800</xdr:colOff>
      <xdr:row>3</xdr:row>
      <xdr:rowOff>139700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D047C32-188A-D241-BBBA-BA5E442EA8DD}"/>
            </a:ext>
          </a:extLst>
        </xdr:cNvPr>
        <xdr:cNvSpPr txBox="1"/>
      </xdr:nvSpPr>
      <xdr:spPr>
        <a:xfrm>
          <a:off x="3581400" y="279400"/>
          <a:ext cx="53340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2</a:t>
          </a:r>
        </a:p>
      </xdr:txBody>
    </xdr:sp>
    <xdr:clientData/>
  </xdr:twoCellAnchor>
  <xdr:twoCellAnchor>
    <xdr:from>
      <xdr:col>7</xdr:col>
      <xdr:colOff>304800</xdr:colOff>
      <xdr:row>2</xdr:row>
      <xdr:rowOff>63500</xdr:rowOff>
    </xdr:from>
    <xdr:to>
      <xdr:col>7</xdr:col>
      <xdr:colOff>812800</xdr:colOff>
      <xdr:row>3</xdr:row>
      <xdr:rowOff>139700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4352E10B-358D-004B-A163-3AC02A316165}"/>
            </a:ext>
          </a:extLst>
        </xdr:cNvPr>
        <xdr:cNvSpPr txBox="1"/>
      </xdr:nvSpPr>
      <xdr:spPr>
        <a:xfrm>
          <a:off x="5257800" y="266700"/>
          <a:ext cx="508000" cy="279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20</a:t>
          </a:r>
        </a:p>
      </xdr:txBody>
    </xdr:sp>
    <xdr:clientData/>
  </xdr:twoCellAnchor>
  <xdr:twoCellAnchor>
    <xdr:from>
      <xdr:col>9</xdr:col>
      <xdr:colOff>254000</xdr:colOff>
      <xdr:row>2</xdr:row>
      <xdr:rowOff>76200</xdr:rowOff>
    </xdr:from>
    <xdr:to>
      <xdr:col>9</xdr:col>
      <xdr:colOff>787400</xdr:colOff>
      <xdr:row>3</xdr:row>
      <xdr:rowOff>177800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C5D6993-F07D-144C-BB0F-F6B48229B4B8}"/>
            </a:ext>
          </a:extLst>
        </xdr:cNvPr>
        <xdr:cNvSpPr txBox="1"/>
      </xdr:nvSpPr>
      <xdr:spPr>
        <a:xfrm>
          <a:off x="6858000" y="279400"/>
          <a:ext cx="53340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11</a:t>
          </a:r>
        </a:p>
      </xdr:txBody>
    </xdr:sp>
    <xdr:clientData/>
  </xdr:twoCellAnchor>
  <xdr:twoCellAnchor>
    <xdr:from>
      <xdr:col>9</xdr:col>
      <xdr:colOff>266700</xdr:colOff>
      <xdr:row>5</xdr:row>
      <xdr:rowOff>12700</xdr:rowOff>
    </xdr:from>
    <xdr:to>
      <xdr:col>9</xdr:col>
      <xdr:colOff>800100</xdr:colOff>
      <xdr:row>6</xdr:row>
      <xdr:rowOff>139700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4EFA5D40-237A-1D42-B1C3-80CA1B40ED7B}"/>
            </a:ext>
          </a:extLst>
        </xdr:cNvPr>
        <xdr:cNvSpPr txBox="1"/>
      </xdr:nvSpPr>
      <xdr:spPr>
        <a:xfrm>
          <a:off x="6870700" y="825500"/>
          <a:ext cx="533400" cy="330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20</a:t>
          </a:r>
        </a:p>
      </xdr:txBody>
    </xdr:sp>
    <xdr:clientData/>
  </xdr:twoCellAnchor>
  <xdr:twoCellAnchor>
    <xdr:from>
      <xdr:col>9</xdr:col>
      <xdr:colOff>292100</xdr:colOff>
      <xdr:row>8</xdr:row>
      <xdr:rowOff>12700</xdr:rowOff>
    </xdr:from>
    <xdr:to>
      <xdr:col>9</xdr:col>
      <xdr:colOff>800100</xdr:colOff>
      <xdr:row>9</xdr:row>
      <xdr:rowOff>88900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AD600BE6-2F4A-114D-980E-7475232AB204}"/>
            </a:ext>
          </a:extLst>
        </xdr:cNvPr>
        <xdr:cNvSpPr txBox="1"/>
      </xdr:nvSpPr>
      <xdr:spPr>
        <a:xfrm>
          <a:off x="6896100" y="1435100"/>
          <a:ext cx="508000" cy="279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18</a:t>
          </a:r>
        </a:p>
      </xdr:txBody>
    </xdr:sp>
    <xdr:clientData/>
  </xdr:twoCellAnchor>
  <xdr:twoCellAnchor>
    <xdr:from>
      <xdr:col>7</xdr:col>
      <xdr:colOff>304800</xdr:colOff>
      <xdr:row>8</xdr:row>
      <xdr:rowOff>25400</xdr:rowOff>
    </xdr:from>
    <xdr:to>
      <xdr:col>7</xdr:col>
      <xdr:colOff>812800</xdr:colOff>
      <xdr:row>9</xdr:row>
      <xdr:rowOff>114300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1187254-15FC-DD4A-B7D1-C922EBCC7008}"/>
            </a:ext>
          </a:extLst>
        </xdr:cNvPr>
        <xdr:cNvSpPr txBox="1"/>
      </xdr:nvSpPr>
      <xdr:spPr>
        <a:xfrm>
          <a:off x="5257800" y="1447800"/>
          <a:ext cx="508000" cy="292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16</a:t>
          </a:r>
        </a:p>
      </xdr:txBody>
    </xdr:sp>
    <xdr:clientData/>
  </xdr:twoCellAnchor>
  <xdr:twoCellAnchor>
    <xdr:from>
      <xdr:col>7</xdr:col>
      <xdr:colOff>304800</xdr:colOff>
      <xdr:row>5</xdr:row>
      <xdr:rowOff>25400</xdr:rowOff>
    </xdr:from>
    <xdr:to>
      <xdr:col>7</xdr:col>
      <xdr:colOff>812800</xdr:colOff>
      <xdr:row>6</xdr:row>
      <xdr:rowOff>139700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4F57DB9F-F9A8-0A47-9B67-01AC6354E8A9}"/>
            </a:ext>
          </a:extLst>
        </xdr:cNvPr>
        <xdr:cNvSpPr txBox="1"/>
      </xdr:nvSpPr>
      <xdr:spPr>
        <a:xfrm>
          <a:off x="5257800" y="838200"/>
          <a:ext cx="508000" cy="317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9</a:t>
          </a:r>
        </a:p>
      </xdr:txBody>
    </xdr:sp>
    <xdr:clientData/>
  </xdr:twoCellAnchor>
  <xdr:twoCellAnchor>
    <xdr:from>
      <xdr:col>5</xdr:col>
      <xdr:colOff>304800</xdr:colOff>
      <xdr:row>5</xdr:row>
      <xdr:rowOff>25400</xdr:rowOff>
    </xdr:from>
    <xdr:to>
      <xdr:col>5</xdr:col>
      <xdr:colOff>812800</xdr:colOff>
      <xdr:row>6</xdr:row>
      <xdr:rowOff>127000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F3298DAE-477E-2D49-A6FA-09018289D37C}"/>
            </a:ext>
          </a:extLst>
        </xdr:cNvPr>
        <xdr:cNvSpPr txBox="1"/>
      </xdr:nvSpPr>
      <xdr:spPr>
        <a:xfrm>
          <a:off x="3606800" y="838200"/>
          <a:ext cx="50800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7</a:t>
          </a:r>
        </a:p>
      </xdr:txBody>
    </xdr:sp>
    <xdr:clientData/>
  </xdr:twoCellAnchor>
  <xdr:twoCellAnchor>
    <xdr:from>
      <xdr:col>5</xdr:col>
      <xdr:colOff>304800</xdr:colOff>
      <xdr:row>8</xdr:row>
      <xdr:rowOff>12700</xdr:rowOff>
    </xdr:from>
    <xdr:to>
      <xdr:col>5</xdr:col>
      <xdr:colOff>812800</xdr:colOff>
      <xdr:row>9</xdr:row>
      <xdr:rowOff>127000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F34582E3-5DBF-D94E-A652-DDA2E4C117FD}"/>
            </a:ext>
          </a:extLst>
        </xdr:cNvPr>
        <xdr:cNvSpPr txBox="1"/>
      </xdr:nvSpPr>
      <xdr:spPr>
        <a:xfrm>
          <a:off x="4432300" y="1638300"/>
          <a:ext cx="508000" cy="317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14</a:t>
          </a:r>
        </a:p>
      </xdr:txBody>
    </xdr:sp>
    <xdr:clientData/>
  </xdr:twoCellAnchor>
  <xdr:twoCellAnchor>
    <xdr:from>
      <xdr:col>3</xdr:col>
      <xdr:colOff>266700</xdr:colOff>
      <xdr:row>5</xdr:row>
      <xdr:rowOff>12700</xdr:rowOff>
    </xdr:from>
    <xdr:to>
      <xdr:col>3</xdr:col>
      <xdr:colOff>812800</xdr:colOff>
      <xdr:row>6</xdr:row>
      <xdr:rowOff>139700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1D5675B1-EC02-C04D-9830-EF170593A4BE}"/>
            </a:ext>
          </a:extLst>
        </xdr:cNvPr>
        <xdr:cNvSpPr txBox="1"/>
      </xdr:nvSpPr>
      <xdr:spPr>
        <a:xfrm>
          <a:off x="1917700" y="825500"/>
          <a:ext cx="546100" cy="330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12</a:t>
          </a:r>
        </a:p>
      </xdr:txBody>
    </xdr:sp>
    <xdr:clientData/>
  </xdr:twoCellAnchor>
  <xdr:twoCellAnchor>
    <xdr:from>
      <xdr:col>3</xdr:col>
      <xdr:colOff>292100</xdr:colOff>
      <xdr:row>8</xdr:row>
      <xdr:rowOff>25400</xdr:rowOff>
    </xdr:from>
    <xdr:to>
      <xdr:col>3</xdr:col>
      <xdr:colOff>812800</xdr:colOff>
      <xdr:row>9</xdr:row>
      <xdr:rowOff>139700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655EAE8-EA76-D441-8A03-DEB7F5301D72}"/>
            </a:ext>
          </a:extLst>
        </xdr:cNvPr>
        <xdr:cNvSpPr txBox="1"/>
      </xdr:nvSpPr>
      <xdr:spPr>
        <a:xfrm>
          <a:off x="1943100" y="1447800"/>
          <a:ext cx="520700" cy="317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4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B5F82-F2EE-E54E-B255-3E5F30823C3E}">
  <dimension ref="A1:L30"/>
  <sheetViews>
    <sheetView workbookViewId="0">
      <selection activeCell="A30" sqref="A30"/>
    </sheetView>
  </sheetViews>
  <sheetFormatPr baseColWidth="10" defaultRowHeight="16" x14ac:dyDescent="0.2"/>
  <sheetData>
    <row r="1" spans="1:12" x14ac:dyDescent="0.2">
      <c r="A1" s="1" t="s">
        <v>5</v>
      </c>
    </row>
    <row r="2" spans="1:12" x14ac:dyDescent="0.2">
      <c r="J2" s="2" t="s">
        <v>3</v>
      </c>
      <c r="L2" s="2" t="s">
        <v>1</v>
      </c>
    </row>
    <row r="4" spans="1:12" x14ac:dyDescent="0.2">
      <c r="E4" s="5" t="s">
        <v>4</v>
      </c>
    </row>
    <row r="6" spans="1:12" x14ac:dyDescent="0.2">
      <c r="A6" s="2" t="s">
        <v>0</v>
      </c>
      <c r="C6" s="2" t="s">
        <v>2</v>
      </c>
      <c r="L6" s="3">
        <v>5</v>
      </c>
    </row>
    <row r="7" spans="1:12" x14ac:dyDescent="0.2">
      <c r="L7" s="3"/>
    </row>
    <row r="8" spans="1:12" x14ac:dyDescent="0.2">
      <c r="L8" s="3"/>
    </row>
    <row r="9" spans="1:12" x14ac:dyDescent="0.2">
      <c r="L9" s="3"/>
    </row>
    <row r="10" spans="1:12" x14ac:dyDescent="0.2">
      <c r="A10">
        <v>15</v>
      </c>
      <c r="L10" s="3"/>
    </row>
    <row r="11" spans="1:12" x14ac:dyDescent="0.2">
      <c r="L11" s="3"/>
    </row>
    <row r="12" spans="1:12" x14ac:dyDescent="0.2">
      <c r="L12" s="3"/>
    </row>
    <row r="13" spans="1:12" x14ac:dyDescent="0.2">
      <c r="L13" s="3">
        <v>15</v>
      </c>
    </row>
    <row r="14" spans="1:12" x14ac:dyDescent="0.2">
      <c r="L14" s="3"/>
    </row>
    <row r="15" spans="1:12" x14ac:dyDescent="0.2">
      <c r="L15" s="3"/>
    </row>
    <row r="16" spans="1:12" x14ac:dyDescent="0.2">
      <c r="L16" s="3"/>
    </row>
    <row r="17" spans="1:12" x14ac:dyDescent="0.2">
      <c r="A17">
        <v>25</v>
      </c>
      <c r="L17" s="3"/>
    </row>
    <row r="18" spans="1:12" x14ac:dyDescent="0.2">
      <c r="L18" s="3"/>
    </row>
    <row r="19" spans="1:12" x14ac:dyDescent="0.2">
      <c r="L19" s="3"/>
    </row>
    <row r="20" spans="1:12" x14ac:dyDescent="0.2">
      <c r="L20" s="3">
        <v>15</v>
      </c>
    </row>
    <row r="21" spans="1:12" x14ac:dyDescent="0.2">
      <c r="L21" s="3"/>
    </row>
    <row r="22" spans="1:12" x14ac:dyDescent="0.2">
      <c r="L22" s="3"/>
    </row>
    <row r="23" spans="1:12" x14ac:dyDescent="0.2">
      <c r="L23" s="3"/>
    </row>
    <row r="24" spans="1:12" x14ac:dyDescent="0.2">
      <c r="A24">
        <v>10</v>
      </c>
      <c r="L24" s="3"/>
    </row>
    <row r="25" spans="1:12" x14ac:dyDescent="0.2">
      <c r="L25" s="3"/>
    </row>
    <row r="26" spans="1:12" x14ac:dyDescent="0.2">
      <c r="L26" s="3"/>
    </row>
    <row r="27" spans="1:12" x14ac:dyDescent="0.2">
      <c r="L27" s="3">
        <v>15</v>
      </c>
    </row>
    <row r="30" spans="1:12" x14ac:dyDescent="0.2">
      <c r="A30" s="4">
        <f>SUM(A10:A24)</f>
        <v>50</v>
      </c>
      <c r="L30" s="4">
        <f>SUM(L6:L27)</f>
        <v>50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1EA89-1110-494D-BF27-18DA6300E2B2}">
  <dimension ref="A1:K13"/>
  <sheetViews>
    <sheetView workbookViewId="0">
      <selection activeCell="J20" sqref="J20"/>
    </sheetView>
  </sheetViews>
  <sheetFormatPr baseColWidth="10" defaultRowHeight="16" x14ac:dyDescent="0.2"/>
  <sheetData>
    <row r="1" spans="1:11" x14ac:dyDescent="0.2">
      <c r="A1" s="1" t="s">
        <v>5</v>
      </c>
    </row>
    <row r="2" spans="1:11" x14ac:dyDescent="0.2">
      <c r="K2" s="2" t="s">
        <v>0</v>
      </c>
    </row>
    <row r="4" spans="1:11" x14ac:dyDescent="0.2">
      <c r="K4">
        <v>15</v>
      </c>
    </row>
    <row r="7" spans="1:11" x14ac:dyDescent="0.2">
      <c r="K7">
        <v>25</v>
      </c>
    </row>
    <row r="10" spans="1:11" x14ac:dyDescent="0.2">
      <c r="K10">
        <v>10</v>
      </c>
    </row>
    <row r="13" spans="1:11" x14ac:dyDescent="0.2">
      <c r="B13" s="2" t="s">
        <v>1</v>
      </c>
      <c r="D13">
        <v>5</v>
      </c>
      <c r="F13">
        <v>15</v>
      </c>
      <c r="H13">
        <v>15</v>
      </c>
      <c r="J13">
        <v>15</v>
      </c>
      <c r="K13" s="4">
        <v>50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B4EB5-B6CE-EB4C-85BF-3857B939283A}">
  <dimension ref="A1:I21"/>
  <sheetViews>
    <sheetView tabSelected="1" workbookViewId="0">
      <selection activeCell="B21" sqref="B21"/>
    </sheetView>
  </sheetViews>
  <sheetFormatPr baseColWidth="10" defaultRowHeight="16" x14ac:dyDescent="0.2"/>
  <cols>
    <col min="2" max="2" width="12.5" customWidth="1"/>
    <col min="7" max="7" width="12" customWidth="1"/>
  </cols>
  <sheetData>
    <row r="1" spans="1:9" x14ac:dyDescent="0.2">
      <c r="A1" s="1" t="s">
        <v>5</v>
      </c>
    </row>
    <row r="3" spans="1:9" x14ac:dyDescent="0.2">
      <c r="A3" s="6" t="s">
        <v>6</v>
      </c>
    </row>
    <row r="4" spans="1:9" x14ac:dyDescent="0.2">
      <c r="C4" s="2" t="s">
        <v>7</v>
      </c>
    </row>
    <row r="5" spans="1:9" x14ac:dyDescent="0.2">
      <c r="C5" t="s">
        <v>10</v>
      </c>
      <c r="D5" t="s">
        <v>11</v>
      </c>
      <c r="E5" t="s">
        <v>12</v>
      </c>
      <c r="F5" t="s">
        <v>13</v>
      </c>
    </row>
    <row r="6" spans="1:9" x14ac:dyDescent="0.2">
      <c r="A6" s="2" t="s">
        <v>8</v>
      </c>
      <c r="B6" t="s">
        <v>9</v>
      </c>
      <c r="C6" s="4">
        <v>10</v>
      </c>
      <c r="D6" s="4">
        <v>2</v>
      </c>
      <c r="E6" s="4">
        <v>20</v>
      </c>
      <c r="F6" s="4">
        <v>11</v>
      </c>
    </row>
    <row r="7" spans="1:9" x14ac:dyDescent="0.2">
      <c r="B7" t="s">
        <v>14</v>
      </c>
      <c r="C7" s="4">
        <v>12</v>
      </c>
      <c r="D7" s="4">
        <v>7</v>
      </c>
      <c r="E7" s="4">
        <v>9</v>
      </c>
      <c r="F7" s="4">
        <v>20</v>
      </c>
    </row>
    <row r="8" spans="1:9" x14ac:dyDescent="0.2">
      <c r="B8" t="s">
        <v>15</v>
      </c>
      <c r="C8" s="4">
        <v>4</v>
      </c>
      <c r="D8" s="4">
        <v>14</v>
      </c>
      <c r="E8" s="4">
        <v>16</v>
      </c>
      <c r="F8" s="4">
        <v>18</v>
      </c>
    </row>
    <row r="10" spans="1:9" x14ac:dyDescent="0.2">
      <c r="A10" s="1" t="s">
        <v>16</v>
      </c>
    </row>
    <row r="11" spans="1:9" x14ac:dyDescent="0.2">
      <c r="C11" s="2" t="s">
        <v>7</v>
      </c>
    </row>
    <row r="12" spans="1:9" x14ac:dyDescent="0.2">
      <c r="C12" t="s">
        <v>10</v>
      </c>
      <c r="D12" t="s">
        <v>11</v>
      </c>
      <c r="E12" t="s">
        <v>12</v>
      </c>
      <c r="F12" t="s">
        <v>13</v>
      </c>
      <c r="G12" s="2" t="s">
        <v>19</v>
      </c>
      <c r="I12" s="10" t="s">
        <v>0</v>
      </c>
    </row>
    <row r="13" spans="1:9" x14ac:dyDescent="0.2">
      <c r="A13" s="2" t="s">
        <v>8</v>
      </c>
      <c r="B13" t="s">
        <v>9</v>
      </c>
      <c r="C13" s="8">
        <v>0</v>
      </c>
      <c r="D13" s="8">
        <v>5</v>
      </c>
      <c r="E13" s="8">
        <v>0</v>
      </c>
      <c r="F13" s="8">
        <v>10</v>
      </c>
      <c r="G13">
        <f>SUM(C13:F13)</f>
        <v>15</v>
      </c>
      <c r="H13" s="7" t="s">
        <v>20</v>
      </c>
      <c r="I13" s="10">
        <v>15</v>
      </c>
    </row>
    <row r="14" spans="1:9" x14ac:dyDescent="0.2">
      <c r="B14" t="s">
        <v>14</v>
      </c>
      <c r="C14" s="8">
        <v>0</v>
      </c>
      <c r="D14" s="8">
        <v>10</v>
      </c>
      <c r="E14" s="8">
        <v>15</v>
      </c>
      <c r="F14" s="8">
        <v>0</v>
      </c>
      <c r="G14">
        <f>SUM(C14:F14)</f>
        <v>25</v>
      </c>
      <c r="H14" s="7" t="s">
        <v>20</v>
      </c>
      <c r="I14" s="10">
        <v>25</v>
      </c>
    </row>
    <row r="15" spans="1:9" x14ac:dyDescent="0.2">
      <c r="B15" t="s">
        <v>15</v>
      </c>
      <c r="C15" s="8">
        <v>5</v>
      </c>
      <c r="D15" s="8">
        <v>0</v>
      </c>
      <c r="E15" s="8">
        <v>0</v>
      </c>
      <c r="F15" s="8">
        <v>5</v>
      </c>
      <c r="G15">
        <f>SUM(C15:F15)</f>
        <v>10</v>
      </c>
      <c r="H15" s="7" t="s">
        <v>20</v>
      </c>
      <c r="I15" s="10">
        <v>10</v>
      </c>
    </row>
    <row r="16" spans="1:9" x14ac:dyDescent="0.2">
      <c r="B16" s="2" t="s">
        <v>17</v>
      </c>
      <c r="C16">
        <f>SUM(C13:C15)</f>
        <v>5</v>
      </c>
      <c r="D16">
        <f>SUM(D13:D15)</f>
        <v>15</v>
      </c>
      <c r="E16">
        <f>SUM(E13:E15)</f>
        <v>15</v>
      </c>
      <c r="F16">
        <f>SUM(F13:F15)</f>
        <v>15</v>
      </c>
      <c r="H16" s="7"/>
    </row>
    <row r="17" spans="1:6" x14ac:dyDescent="0.2">
      <c r="C17" s="7" t="s">
        <v>18</v>
      </c>
      <c r="D17" s="7" t="s">
        <v>18</v>
      </c>
      <c r="E17" s="7" t="s">
        <v>18</v>
      </c>
      <c r="F17" s="7" t="s">
        <v>18</v>
      </c>
    </row>
    <row r="18" spans="1:6" x14ac:dyDescent="0.2">
      <c r="B18" s="10" t="s">
        <v>21</v>
      </c>
      <c r="C18" s="10">
        <v>5</v>
      </c>
      <c r="D18" s="10">
        <v>15</v>
      </c>
      <c r="E18" s="10">
        <v>15</v>
      </c>
      <c r="F18" s="10">
        <v>15</v>
      </c>
    </row>
    <row r="20" spans="1:6" x14ac:dyDescent="0.2">
      <c r="A20" s="1" t="s">
        <v>22</v>
      </c>
    </row>
    <row r="21" spans="1:6" x14ac:dyDescent="0.2">
      <c r="A21" t="s">
        <v>23</v>
      </c>
      <c r="B21" s="9">
        <f>SUMPRODUCT(C6:F8,C13:F15)</f>
        <v>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SD Network Diagram</vt:lpstr>
      <vt:lpstr>Transportation Tableau</vt:lpstr>
      <vt:lpstr>LP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Bolling, Jordan</dc:creator>
  <cp:lastModifiedBy>Jordan Bolling</cp:lastModifiedBy>
  <dcterms:created xsi:type="dcterms:W3CDTF">2024-12-28T13:01:03Z</dcterms:created>
  <dcterms:modified xsi:type="dcterms:W3CDTF">2025-12-13T11:49:56Z</dcterms:modified>
</cp:coreProperties>
</file>